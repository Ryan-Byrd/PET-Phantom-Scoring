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ghp.sharepoint.com/sites/RadcomFiles/Shared Documents/General/PET Python Scripts/"/>
    </mc:Choice>
  </mc:AlternateContent>
  <xr:revisionPtr revIDLastSave="86" documentId="8_{E79FFA1F-6011-40DA-8370-703541565C8C}" xr6:coauthVersionLast="47" xr6:coauthVersionMax="47" xr10:uidLastSave="{7653983F-ECEE-4619-B6F4-9A86A1032538}"/>
  <bookViews>
    <workbookView xWindow="-120" yWindow="-120" windowWidth="29040" windowHeight="15720" xr2:uid="{5816867C-F879-40A0-92F3-CCF2CA060A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C6" i="1"/>
  <c r="C7" i="1" s="1"/>
  <c r="K7" i="1" l="1"/>
</calcChain>
</file>

<file path=xl/sharedStrings.xml><?xml version="1.0" encoding="utf-8"?>
<sst xmlns="http://schemas.openxmlformats.org/spreadsheetml/2006/main" count="22" uniqueCount="16">
  <si>
    <t>Background SUVs</t>
  </si>
  <si>
    <t>Hot Cell SUVs</t>
  </si>
  <si>
    <t>Count Rate Performance</t>
  </si>
  <si>
    <t>Slice Averages</t>
  </si>
  <si>
    <t>Max Values</t>
  </si>
  <si>
    <t>Average:</t>
  </si>
  <si>
    <t>Average</t>
  </si>
  <si>
    <t>Result:</t>
  </si>
  <si>
    <t>Result</t>
  </si>
  <si>
    <t>Min</t>
  </si>
  <si>
    <t>Bone</t>
  </si>
  <si>
    <t>Air</t>
  </si>
  <si>
    <t>Water</t>
  </si>
  <si>
    <t>Images</t>
  </si>
  <si>
    <t>Uniformity Plot</t>
  </si>
  <si>
    <t>Uniformity ROIs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</si>
</sst>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5"/>
      <color theme="1"/>
      <name val="Aptos Narrow"/>
      <family val="2"/>
      <scheme val="minor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945-5E3E-401C-BC38-4509B1ABD720}">
  <dimension ref="B1:L37"/>
  <sheetViews>
    <sheetView tabSelected="1" zoomScaleNormal="100" workbookViewId="0">
      <selection activeCell="C5" sqref="C5"/>
    </sheetView>
  </sheetViews>
  <sheetFormatPr defaultRowHeight="15"/>
  <sheetData>
    <row r="1" spans="2:12">
      <c r="B1" s="3" t="s">
        <v>0</v>
      </c>
      <c r="C1" s="3"/>
      <c r="D1" s="3"/>
      <c r="F1" s="3" t="s">
        <v>1</v>
      </c>
      <c r="G1" s="3"/>
      <c r="H1" s="3"/>
      <c r="J1" s="3" t="s">
        <v>2</v>
      </c>
      <c r="K1" s="3"/>
      <c r="L1" s="3"/>
    </row>
    <row r="2" spans="2:12">
      <c r="B2" s="3"/>
      <c r="C2" s="3"/>
      <c r="D2" s="3"/>
      <c r="F2" s="3"/>
      <c r="G2" s="3"/>
      <c r="H2" s="3"/>
      <c r="J2" s="3"/>
      <c r="K2" s="3"/>
      <c r="L2" s="3"/>
    </row>
    <row r="3" spans="2:12">
      <c r="B3" s="6" t="s">
        <v>3</v>
      </c>
      <c r="F3" s="4" t="s">
        <v>4</v>
      </c>
      <c r="G3" s="4"/>
      <c r="J3" s="6" t="s">
        <v>3</v>
      </c>
    </row>
    <row r="4" spans="2:12">
      <c r="B4" s="6"/>
      <c r="F4">
        <v>25</v>
      </c>
      <c r="J4" s="6"/>
    </row>
    <row r="5" spans="2:12">
      <c r="B5" s="6"/>
      <c r="F5">
        <v>16</v>
      </c>
      <c r="J5" s="6"/>
    </row>
    <row r="6" spans="2:12">
      <c r="B6" s="1" t="s">
        <v>5</v>
      </c>
      <c r="C6" t="str">
        <f>IFERROR(AVERAGE(C3:C5),"")</f>
        <v/>
      </c>
      <c r="F6">
        <v>12</v>
      </c>
      <c r="J6" s="1" t="s">
        <v>6</v>
      </c>
      <c r="K6" t="str">
        <f>IFERROR(AVERAGE(K3:K5),"")</f>
        <v/>
      </c>
    </row>
    <row r="7" spans="2:12" ht="15.75">
      <c r="B7" s="1" t="s">
        <v>7</v>
      </c>
      <c r="C7" s="2" t="str">
        <f>IFERROR(IF(ABS(1-C6)&gt;0.1,"Fail","Pass"),"")</f>
        <v/>
      </c>
      <c r="F7">
        <v>8</v>
      </c>
      <c r="J7" s="1" t="s">
        <v>8</v>
      </c>
      <c r="K7" s="2" t="str">
        <f>IFERROR(IF((1-ABS(K6/C6))&gt;0.1,"Pass","Fail"),"")</f>
        <v/>
      </c>
    </row>
    <row r="8" spans="2:12">
      <c r="G8" t="s">
        <v>6</v>
      </c>
      <c r="H8" t="s">
        <v>9</v>
      </c>
    </row>
    <row r="9" spans="2:12">
      <c r="F9" s="1" t="s">
        <v>10</v>
      </c>
    </row>
    <row r="10" spans="2:12">
      <c r="F10" s="1" t="s">
        <v>11</v>
      </c>
    </row>
    <row r="11" spans="2:12">
      <c r="F11" s="1" t="s">
        <v>12</v>
      </c>
    </row>
    <row r="13" spans="2:12" ht="15.75">
      <c r="F13" s="1" t="s">
        <v>8</v>
      </c>
      <c r="G13" s="2"/>
    </row>
    <row r="15" spans="2:12">
      <c r="B15" s="5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8" spans="2:12">
      <c r="B18" s="4"/>
      <c r="C18" s="4"/>
      <c r="D18" s="4"/>
      <c r="F18" s="4"/>
      <c r="G18" s="4"/>
      <c r="H18" s="4"/>
      <c r="J18" s="4"/>
      <c r="K18" s="4"/>
      <c r="L18" s="4"/>
    </row>
    <row r="19" spans="2:12">
      <c r="B19" s="4"/>
      <c r="C19" s="4"/>
      <c r="D19" s="4"/>
      <c r="F19" s="4"/>
      <c r="G19" s="4"/>
      <c r="H19" s="4"/>
      <c r="J19" s="4"/>
      <c r="K19" s="4"/>
      <c r="L19" s="4"/>
    </row>
    <row r="20" spans="2:12">
      <c r="B20" s="4"/>
      <c r="C20" s="4"/>
      <c r="D20" s="4"/>
      <c r="F20" s="4"/>
      <c r="G20" s="4"/>
      <c r="H20" s="4"/>
      <c r="J20" s="4"/>
      <c r="K20" s="4"/>
      <c r="L20" s="4"/>
    </row>
    <row r="21" spans="2:12">
      <c r="B21" s="4"/>
      <c r="C21" s="4"/>
      <c r="D21" s="4"/>
      <c r="F21" s="4"/>
      <c r="G21" s="4"/>
      <c r="H21" s="4"/>
      <c r="J21" s="4"/>
      <c r="K21" s="4"/>
      <c r="L21" s="4"/>
    </row>
    <row r="22" spans="2:12">
      <c r="B22" s="4"/>
      <c r="C22" s="4"/>
      <c r="D22" s="4"/>
      <c r="F22" s="4"/>
      <c r="G22" s="4"/>
      <c r="H22" s="4"/>
      <c r="J22" s="4"/>
      <c r="K22" s="4"/>
      <c r="L22" s="4"/>
    </row>
    <row r="23" spans="2:12">
      <c r="B23" s="4"/>
      <c r="C23" s="4"/>
      <c r="D23" s="4"/>
      <c r="F23" s="4"/>
      <c r="G23" s="4"/>
      <c r="H23" s="4"/>
      <c r="J23" s="4"/>
      <c r="K23" s="4"/>
      <c r="L23" s="4"/>
    </row>
    <row r="24" spans="2:12">
      <c r="B24" s="4"/>
      <c r="C24" s="4"/>
      <c r="D24" s="4"/>
      <c r="F24" s="4"/>
      <c r="G24" s="4"/>
      <c r="H24" s="4"/>
      <c r="J24" s="4"/>
      <c r="K24" s="4"/>
      <c r="L24" s="4"/>
    </row>
    <row r="25" spans="2:12">
      <c r="B25" s="3" t="s">
        <v>0</v>
      </c>
      <c r="C25" s="3"/>
      <c r="D25" s="3"/>
      <c r="F25" s="3" t="s">
        <v>1</v>
      </c>
      <c r="G25" s="3"/>
      <c r="H25" s="3"/>
      <c r="J25" s="3" t="s">
        <v>2</v>
      </c>
      <c r="K25" s="3"/>
      <c r="L25" s="3"/>
    </row>
    <row r="26" spans="2:12">
      <c r="B26" s="3"/>
      <c r="C26" s="3"/>
      <c r="D26" s="3"/>
      <c r="F26" s="3"/>
      <c r="G26" s="3"/>
      <c r="H26" s="3"/>
      <c r="J26" s="3"/>
      <c r="K26" s="3"/>
      <c r="L26" s="3"/>
    </row>
    <row r="29" spans="2:12">
      <c r="B29" s="4"/>
      <c r="C29" s="4"/>
      <c r="D29" s="4"/>
      <c r="F29" s="4"/>
      <c r="G29" s="4"/>
      <c r="H29" s="4"/>
    </row>
    <row r="30" spans="2:12">
      <c r="B30" s="4"/>
      <c r="C30" s="4"/>
      <c r="D30" s="4"/>
      <c r="F30" s="4"/>
      <c r="G30" s="4"/>
      <c r="H30" s="4"/>
    </row>
    <row r="31" spans="2:12">
      <c r="B31" s="4"/>
      <c r="C31" s="4"/>
      <c r="D31" s="4"/>
      <c r="F31" s="4"/>
      <c r="G31" s="4"/>
      <c r="H31" s="4"/>
    </row>
    <row r="32" spans="2:12">
      <c r="B32" s="4"/>
      <c r="C32" s="4"/>
      <c r="D32" s="4"/>
      <c r="F32" s="4"/>
      <c r="G32" s="4"/>
      <c r="H32" s="4"/>
    </row>
    <row r="33" spans="2:8">
      <c r="B33" s="4"/>
      <c r="C33" s="4"/>
      <c r="D33" s="4"/>
      <c r="F33" s="4"/>
      <c r="G33" s="4"/>
      <c r="H33" s="4"/>
    </row>
    <row r="34" spans="2:8">
      <c r="B34" s="4"/>
      <c r="C34" s="4"/>
      <c r="D34" s="4"/>
      <c r="F34" s="4"/>
      <c r="G34" s="4"/>
      <c r="H34" s="4"/>
    </row>
    <row r="35" spans="2:8">
      <c r="B35" s="4"/>
      <c r="C35" s="4"/>
      <c r="D35" s="4"/>
      <c r="F35" s="4"/>
      <c r="G35" s="4"/>
      <c r="H35" s="4"/>
    </row>
    <row r="36" spans="2:8">
      <c r="B36" s="3" t="s">
        <v>14</v>
      </c>
      <c r="C36" s="3"/>
      <c r="D36" s="3"/>
      <c r="F36" s="3" t="s">
        <v>15</v>
      </c>
      <c r="G36" s="3"/>
      <c r="H36" s="3"/>
    </row>
    <row r="37" spans="2:8">
      <c r="B37" s="3"/>
      <c r="C37" s="3"/>
      <c r="D37" s="3"/>
      <c r="F37" s="3"/>
      <c r="G37" s="3"/>
      <c r="H37" s="3"/>
    </row>
  </sheetData>
  <mergeCells count="17">
    <mergeCell ref="B1:D2"/>
    <mergeCell ref="F1:H2"/>
    <mergeCell ref="B3:B5"/>
    <mergeCell ref="F3:G3"/>
    <mergeCell ref="J1:L2"/>
    <mergeCell ref="J3:J5"/>
    <mergeCell ref="B36:D37"/>
    <mergeCell ref="F29:H35"/>
    <mergeCell ref="F36:H37"/>
    <mergeCell ref="B15:L16"/>
    <mergeCell ref="F18:H24"/>
    <mergeCell ref="B18:D24"/>
    <mergeCell ref="J18:L24"/>
    <mergeCell ref="B25:D26"/>
    <mergeCell ref="F25:H26"/>
    <mergeCell ref="J25:L26"/>
    <mergeCell ref="B29:D35"/>
  </mergeCells>
  <conditionalFormatting sqref="C7 G13 K7">
    <cfRule type="containsText" dxfId="1" priority="2" operator="containsText" text="Pass">
      <formula>NOT(ISERROR(SEARCH("Pass",C7)))</formula>
    </cfRule>
    <cfRule type="containsText" dxfId="0" priority="1" operator="containsText" text="Fail">
      <formula>NOT(ISERROR(SEARCH("Fail",C7)))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63475C1EEFD49A598447712F3D3E6" ma:contentTypeVersion="13" ma:contentTypeDescription="Create a new document." ma:contentTypeScope="" ma:versionID="da3fb317689a9f6d13533583b51a848a">
  <xsd:schema xmlns:xsd="http://www.w3.org/2001/XMLSchema" xmlns:xs="http://www.w3.org/2001/XMLSchema" xmlns:p="http://schemas.microsoft.com/office/2006/metadata/properties" xmlns:ns2="0f805f1a-c809-45d1-8a37-1dbee80eb390" xmlns:ns3="984591a0-cc6c-4327-9f71-f91b2505ea82" targetNamespace="http://schemas.microsoft.com/office/2006/metadata/properties" ma:root="true" ma:fieldsID="fc47f8e6e5d13c4765c188af9696885d" ns2:_="" ns3:_="">
    <xsd:import namespace="0f805f1a-c809-45d1-8a37-1dbee80eb390"/>
    <xsd:import namespace="984591a0-cc6c-4327-9f71-f91b2505e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5f1a-c809-45d1-8a37-1dbee80eb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0baa89-f68b-4895-8662-2bd57a0ae5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91a0-cc6c-4327-9f71-f91b2505ea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314453b-81dd-410b-b42e-089cccea5f85}" ma:internalName="TaxCatchAll" ma:showField="CatchAllData" ma:web="984591a0-cc6c-4327-9f71-f91b2505e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4591a0-cc6c-4327-9f71-f91b2505ea82" xsi:nil="true"/>
    <lcf76f155ced4ddcb4097134ff3c332f xmlns="0f805f1a-c809-45d1-8a37-1dbee80eb3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A5DF34-6272-46E7-981D-F51D4C09E8F2}"/>
</file>

<file path=customXml/itemProps2.xml><?xml version="1.0" encoding="utf-8"?>
<ds:datastoreItem xmlns:ds="http://schemas.openxmlformats.org/officeDocument/2006/customXml" ds:itemID="{823AB35B-2678-49B3-88E9-0ED94A22C558}"/>
</file>

<file path=customXml/itemProps3.xml><?xml version="1.0" encoding="utf-8"?>
<ds:datastoreItem xmlns:ds="http://schemas.openxmlformats.org/officeDocument/2006/customXml" ds:itemID="{54F72930-DCBF-4B46-A76F-016628EDD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Byrd</dc:creator>
  <cp:keywords/>
  <dc:description/>
  <cp:lastModifiedBy>Mason Anders</cp:lastModifiedBy>
  <cp:revision/>
  <dcterms:created xsi:type="dcterms:W3CDTF">2025-11-11T01:59:51Z</dcterms:created>
  <dcterms:modified xsi:type="dcterms:W3CDTF">2026-02-02T04:21:52Z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0x010100C6363475C1EEFD49A598447712F3D3E6</vt:lpwstr>
  </property>
  <property fmtid="{D5CDD505-2E9C-101B-9397-08002B2CF9AE}" pid="3" name="MediaServiceImageTags">
    <vt:lpwstr/>
  </property>
</Properties>
</file>